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性能测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<sst xmlns="http://schemas.openxmlformats.org/spreadsheetml/2006/main" count="189" uniqueCount="174">
  <si>
    <t>前端测试结果</t>
  </si>
  <si>
    <t>发送节点</t>
  </si>
  <si>
    <t>接受节点</t>
  </si>
  <si>
    <t>测试数据量(次）</t>
  </si>
  <si>
    <t>数据大小(字符/次)</t>
  </si>
  <si>
    <t>发送间隔(ms)</t>
  </si>
  <si>
    <t>开始时间</t>
  </si>
  <si>
    <t>结束时间</t>
  </si>
  <si>
    <t>总耗时(s)</t>
  </si>
  <si>
    <t>TPS</t>
  </si>
  <si>
    <t>MB/s</t>
  </si>
  <si>
    <t>前端sdk收到数据时刻</t>
  </si>
  <si>
    <t>业务层收到数据时刻</t>
  </si>
  <si>
    <t>17:17:10.467</t>
  </si>
  <si>
    <t>17:17:14.870</t>
  </si>
  <si>
    <t>17:20:59.758</t>
  </si>
  <si>
    <t>17:21:03.752</t>
  </si>
  <si>
    <t>17:23:28.773</t>
  </si>
  <si>
    <t>17:23:32.737</t>
  </si>
  <si>
    <t>17:26:42.273</t>
  </si>
  <si>
    <t>17:26:45.777</t>
  </si>
  <si>
    <t>17:28:56.508</t>
  </si>
  <si>
    <t>17:29:00.353</t>
  </si>
  <si>
    <t>平均值</t>
  </si>
  <si>
    <t>全链路耗时统计前景：同时有100个连接与后台连接，每个连接3秒发一次请求,应答数据量为100k，3秒钟收一次推送，单次推送数据量为1k</t>
  </si>
  <si>
    <t>全链路耗时</t>
  </si>
  <si>
    <t>类型</t>
  </si>
  <si>
    <t>链路</t>
  </si>
  <si>
    <t>全链路总耗时(ms)</t>
  </si>
  <si>
    <t>校准值（ms）</t>
  </si>
  <si>
    <t>推送</t>
  </si>
  <si>
    <t>后台发送-&gt;客户端业务收到</t>
  </si>
  <si>
    <t>15:37:05.600</t>
  </si>
  <si>
    <t>15:37:05.627</t>
  </si>
  <si>
    <t>567</t>
  </si>
  <si>
    <t>15:37:08.424</t>
  </si>
  <si>
    <t>15:37:08.635</t>
  </si>
  <si>
    <t>211</t>
  </si>
  <si>
    <t>15:37:11.853</t>
  </si>
  <si>
    <t>15:37:11.711</t>
  </si>
  <si>
    <t>-142</t>
  </si>
  <si>
    <t>15:37:14.236</t>
  </si>
  <si>
    <t>15:37:14.677</t>
  </si>
  <si>
    <t>441</t>
  </si>
  <si>
    <t>15:37:17.617</t>
  </si>
  <si>
    <t>15:37:17.652</t>
  </si>
  <si>
    <t>35</t>
  </si>
  <si>
    <t>15:37:20.960</t>
  </si>
  <si>
    <t>15:37:20.625</t>
  </si>
  <si>
    <t>-335</t>
  </si>
  <si>
    <t>15:37:23.278</t>
  </si>
  <si>
    <t>15:37:23.690</t>
  </si>
  <si>
    <t>412</t>
  </si>
  <si>
    <t>15:37:26.560</t>
  </si>
  <si>
    <t>15:37:26.659</t>
  </si>
  <si>
    <t>99</t>
  </si>
  <si>
    <t>15:37:29.866</t>
  </si>
  <si>
    <t>15:37:29.733</t>
  </si>
  <si>
    <t>-133</t>
  </si>
  <si>
    <t>15:37:32.349</t>
  </si>
  <si>
    <t>15:37:32.702</t>
  </si>
  <si>
    <t>353</t>
  </si>
  <si>
    <t>15:37:35.718</t>
  </si>
  <si>
    <t>15:37:35.627</t>
  </si>
  <si>
    <t>-91</t>
  </si>
  <si>
    <t>15:37:38.111</t>
  </si>
  <si>
    <t>15:37:38.629</t>
  </si>
  <si>
    <t>518</t>
  </si>
  <si>
    <t>15:37:41.431</t>
  </si>
  <si>
    <t>15:37:41.804</t>
  </si>
  <si>
    <t>373</t>
  </si>
  <si>
    <t>15:37:44.808</t>
  </si>
  <si>
    <t>15:37:44.684</t>
  </si>
  <si>
    <t>-124</t>
  </si>
  <si>
    <t>15:37:47.240</t>
  </si>
  <si>
    <t>15:37:47.648</t>
  </si>
  <si>
    <t>408</t>
  </si>
  <si>
    <t>15:37:50.677</t>
  </si>
  <si>
    <t>15:37:50.722</t>
  </si>
  <si>
    <t>45</t>
  </si>
  <si>
    <t>15:37:53.238</t>
  </si>
  <si>
    <t>15:37:53.693</t>
  </si>
  <si>
    <t>455</t>
  </si>
  <si>
    <t>15:37:56.769</t>
  </si>
  <si>
    <t>15:37:56.662</t>
  </si>
  <si>
    <t>-107</t>
  </si>
  <si>
    <t>15:37:59.210</t>
  </si>
  <si>
    <t>15:37:59.735</t>
  </si>
  <si>
    <t>525</t>
  </si>
  <si>
    <t>15:38:02.502</t>
  </si>
  <si>
    <t>15:38:02.703</t>
  </si>
  <si>
    <t>201</t>
  </si>
  <si>
    <t>15:38:05.913</t>
  </si>
  <si>
    <t>15:38:05.673</t>
  </si>
  <si>
    <t>-240</t>
  </si>
  <si>
    <t>15:38:08.341</t>
  </si>
  <si>
    <t>15:38:08.635</t>
  </si>
  <si>
    <t>294</t>
  </si>
  <si>
    <t>15:38:11.753</t>
  </si>
  <si>
    <t>15:38:11.721</t>
  </si>
  <si>
    <t>-32</t>
  </si>
  <si>
    <t>15:38:14.200</t>
  </si>
  <si>
    <t>15:38:14.685</t>
  </si>
  <si>
    <t>485</t>
  </si>
  <si>
    <t>15:38:17.595</t>
  </si>
  <si>
    <t>15:38:17.654</t>
  </si>
  <si>
    <t>59</t>
  </si>
  <si>
    <t>平均耗时</t>
  </si>
  <si>
    <t>请求</t>
  </si>
  <si>
    <t>客户端业务发送-&gt;后台处理应答-&gt;客户端业务收到应答</t>
  </si>
  <si>
    <t>16:16:55.061</t>
  </si>
  <si>
    <t>16:16:55.314</t>
  </si>
  <si>
    <t>16:16:58.049</t>
  </si>
  <si>
    <t>16:16:58.123</t>
  </si>
  <si>
    <t>16:17:01.045</t>
  </si>
  <si>
    <t>16:17:01.174</t>
  </si>
  <si>
    <t>16:17:04.050</t>
  </si>
  <si>
    <t>16:17:04.122</t>
  </si>
  <si>
    <t>72</t>
  </si>
  <si>
    <t>16:17:07.058</t>
  </si>
  <si>
    <t>16:17:07.124</t>
  </si>
  <si>
    <t>66</t>
  </si>
  <si>
    <t>16:17:10.055</t>
  </si>
  <si>
    <t>16:17:10.123</t>
  </si>
  <si>
    <t>68</t>
  </si>
  <si>
    <t>16:17:13.048</t>
  </si>
  <si>
    <t>16:17:13.120</t>
  </si>
  <si>
    <t>16:17:16.054</t>
  </si>
  <si>
    <t>16:17:16.121</t>
  </si>
  <si>
    <t>67</t>
  </si>
  <si>
    <t>16:17:19.046</t>
  </si>
  <si>
    <t>16:17:19.111</t>
  </si>
  <si>
    <t>65</t>
  </si>
  <si>
    <t>16:17:22.058</t>
  </si>
  <si>
    <t>16:17:22.119</t>
  </si>
  <si>
    <t>61</t>
  </si>
  <si>
    <t>16:17:25.054</t>
  </si>
  <si>
    <t>16:17:25.121</t>
  </si>
  <si>
    <t>16:17:28.048</t>
  </si>
  <si>
    <t>16:17:28.119</t>
  </si>
  <si>
    <t>71</t>
  </si>
  <si>
    <t>16:17:31.058</t>
  </si>
  <si>
    <t>16:17:31.128</t>
  </si>
  <si>
    <t>70</t>
  </si>
  <si>
    <t>16:17:34.056</t>
  </si>
  <si>
    <t>16:17:34.132</t>
  </si>
  <si>
    <t>76</t>
  </si>
  <si>
    <t>16:17:37.055</t>
  </si>
  <si>
    <t>16:17:37.120</t>
  </si>
  <si>
    <t>16:17:40.054</t>
  </si>
  <si>
    <t>16:17:40.123</t>
  </si>
  <si>
    <t>69</t>
  </si>
  <si>
    <t>16:17:43.046</t>
  </si>
  <si>
    <t>16:17:43.110</t>
  </si>
  <si>
    <t>64</t>
  </si>
  <si>
    <t>16:17:46.047</t>
  </si>
  <si>
    <t>16:17:46.111</t>
  </si>
  <si>
    <t>16:17:49.045</t>
  </si>
  <si>
    <t>16:17:49.115</t>
  </si>
  <si>
    <t>16:17:52.052</t>
  </si>
  <si>
    <t>16:17:52.119</t>
  </si>
  <si>
    <t>16:17:55.054</t>
  </si>
  <si>
    <t>16:17:55.143</t>
  </si>
  <si>
    <t>89</t>
  </si>
  <si>
    <t>16:17:58.058</t>
  </si>
  <si>
    <t>16:17:58.364</t>
  </si>
  <si>
    <t>16:18:01.056</t>
  </si>
  <si>
    <t>16:18:01.331</t>
  </si>
  <si>
    <t>275</t>
  </si>
  <si>
    <t>16:18:04.057</t>
  </si>
  <si>
    <t>16:18:04.131</t>
  </si>
  <si>
    <t>74</t>
  </si>
  <si>
    <t>16:18:07.061</t>
  </si>
  <si>
    <t>16:18:07.125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</si>
</sst>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2" fillId="0" borderId="0" xfId="0" applyFont="1">
      <alignment vertical="center"/>
    </xf>
    <xf numFmtId="49" fontId="0" fillId="0" borderId="6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49" fontId="0" fillId="0" borderId="5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K71"/>
  <sheetViews>
    <sheetView tabSelected="1" topLeftCell="B36" workbookViewId="0">
      <selection activeCell="J39" sqref="J39"/>
    </sheetView>
  </sheetViews>
  <sheetFormatPr defaultColWidth="9" defaultRowHeight="14.1"/>
  <cols>
    <col min="2" max="2" width="29.7477477477477" customWidth="1"/>
    <col min="3" max="3" width="26.4864864864865" customWidth="1"/>
    <col min="4" max="4" width="20.3873873873874" customWidth="1"/>
    <col min="5" max="5" width="19.2162162162162" customWidth="1"/>
    <col min="6" max="6" width="14.8198198198198" customWidth="1"/>
    <col min="7" max="7" width="13.2522522522523" style="1" customWidth="1"/>
    <col min="8" max="8" width="13.7477477477477" style="1" customWidth="1"/>
    <col min="9" max="9" width="10" customWidth="1"/>
    <col min="10" max="10" width="17.1261261261261" style="2" customWidth="1"/>
    <col min="11" max="11" width="8.62162162162162" style="3" customWidth="1"/>
    <col min="12" max="12" width="14.5045045045045" customWidth="1"/>
    <col min="13" max="13" width="11.8828828828829" customWidth="1"/>
    <col min="14" max="14" width="12.4324324324324" customWidth="1"/>
    <col min="15" max="15" width="26.6396396396396" customWidth="1"/>
    <col min="16" max="16" width="27.7207207207207" customWidth="1"/>
    <col min="17" max="17" width="19.1441441441441" customWidth="1"/>
  </cols>
  <sheetData>
    <row r="3" ht="18" customHeight="1" spans="2:11">
      <c r="B3" s="4" t="s">
        <v>0</v>
      </c>
      <c r="C3" s="4"/>
      <c r="D3" s="4"/>
      <c r="E3" s="4"/>
      <c r="F3" s="4"/>
      <c r="G3" s="5"/>
      <c r="H3" s="5"/>
      <c r="I3" s="4"/>
      <c r="J3" s="26"/>
      <c r="K3" s="27"/>
    </row>
    <row r="4" ht="18" customHeight="1" spans="2:11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7" t="s">
        <v>7</v>
      </c>
      <c r="I4" s="6" t="s">
        <v>8</v>
      </c>
      <c r="J4" s="28" t="s">
        <v>9</v>
      </c>
      <c r="K4" s="29" t="s">
        <v>10</v>
      </c>
    </row>
    <row r="5" ht="18" customHeight="1" spans="2:11">
      <c r="B5" s="8" t="s">
        <v>11</v>
      </c>
      <c r="C5" s="8" t="s">
        <v>12</v>
      </c>
      <c r="D5" s="8">
        <v>10000</v>
      </c>
      <c r="E5" s="8">
        <v>2518</v>
      </c>
      <c r="F5" s="8">
        <v>0</v>
      </c>
      <c r="G5" s="7" t="s">
        <v>13</v>
      </c>
      <c r="H5" s="7" t="s">
        <v>14</v>
      </c>
      <c r="I5" s="6">
        <v>4.41</v>
      </c>
      <c r="J5" s="30">
        <f>D5/I5</f>
        <v>2267.57369614512</v>
      </c>
      <c r="K5" s="31">
        <f>$J5*$E$5/1024/1024</f>
        <v>5.44524246873228</v>
      </c>
    </row>
    <row r="6" ht="18" customHeight="1" spans="2:11">
      <c r="B6" s="9"/>
      <c r="C6" s="9"/>
      <c r="D6" s="9"/>
      <c r="E6" s="9"/>
      <c r="F6" s="9"/>
      <c r="G6" s="7" t="s">
        <v>15</v>
      </c>
      <c r="H6" s="7" t="s">
        <v>16</v>
      </c>
      <c r="I6" s="6">
        <v>3.996</v>
      </c>
      <c r="J6" s="30">
        <f>D5/I6</f>
        <v>2502.5025025025</v>
      </c>
      <c r="K6" s="31">
        <f>$J6*$E$5/1024/1024</f>
        <v>6.00938921098833</v>
      </c>
    </row>
    <row r="7" ht="18" customHeight="1" spans="2:11">
      <c r="B7" s="9"/>
      <c r="C7" s="9"/>
      <c r="D7" s="9"/>
      <c r="E7" s="9"/>
      <c r="F7" s="9"/>
      <c r="G7" s="7" t="s">
        <v>17</v>
      </c>
      <c r="H7" s="7" t="s">
        <v>18</v>
      </c>
      <c r="I7" s="6">
        <v>3.964</v>
      </c>
      <c r="J7" s="30">
        <f>D5/I7</f>
        <v>2522.70433905146</v>
      </c>
      <c r="K7" s="31">
        <f>$J7*$E$5/1024/1024</f>
        <v>6.05790093014868</v>
      </c>
    </row>
    <row r="8" ht="18" customHeight="1" spans="2:11">
      <c r="B8" s="9"/>
      <c r="C8" s="9"/>
      <c r="D8" s="9"/>
      <c r="E8" s="9"/>
      <c r="F8" s="9"/>
      <c r="G8" s="7" t="s">
        <v>19</v>
      </c>
      <c r="H8" s="7" t="s">
        <v>20</v>
      </c>
      <c r="I8" s="6">
        <v>3.504</v>
      </c>
      <c r="J8" s="30">
        <f>D5/I8</f>
        <v>2853.88127853881</v>
      </c>
      <c r="K8" s="31">
        <f>$J8*$E$5/1024/1024</f>
        <v>6.85317331253121</v>
      </c>
    </row>
    <row r="9" ht="18" customHeight="1" spans="2:11">
      <c r="B9" s="10"/>
      <c r="C9" s="10"/>
      <c r="D9" s="10"/>
      <c r="E9" s="10"/>
      <c r="F9" s="10"/>
      <c r="G9" s="7" t="s">
        <v>21</v>
      </c>
      <c r="H9" s="7" t="s">
        <v>22</v>
      </c>
      <c r="I9" s="6">
        <v>3.845</v>
      </c>
      <c r="J9" s="30">
        <f>D5/I9</f>
        <v>2600.78023407022</v>
      </c>
      <c r="K9" s="31">
        <f>$J9*$E$5/1024/1024</f>
        <v>6.24538863123781</v>
      </c>
    </row>
    <row r="10" spans="8:11">
      <c r="H10" s="1" t="s">
        <v>23</v>
      </c>
      <c r="I10" s="32">
        <f>AVERAGE(I5:I9)</f>
        <v>3.9438</v>
      </c>
      <c r="J10" s="33">
        <f>AVERAGE(J5:J9)</f>
        <v>2549.48841006162</v>
      </c>
      <c r="K10" s="34">
        <f>AVERAGE(K5:K9)</f>
        <v>6.12221891072766</v>
      </c>
    </row>
    <row r="12" spans="7:7">
      <c r="G12" s="11"/>
    </row>
    <row r="13" ht="67" customHeight="1" spans="2:6">
      <c r="B13" s="12" t="s">
        <v>24</v>
      </c>
      <c r="C13" s="12"/>
      <c r="D13" s="12"/>
      <c r="E13" s="11"/>
      <c r="F13" s="11"/>
    </row>
    <row r="14" spans="2:7">
      <c r="B14" s="13"/>
      <c r="C14" s="13"/>
      <c r="D14" s="13"/>
      <c r="E14" s="13"/>
      <c r="F14" s="13"/>
      <c r="G14" s="13"/>
    </row>
    <row r="15" spans="2:7">
      <c r="B15" s="4" t="s">
        <v>25</v>
      </c>
      <c r="C15" s="4"/>
      <c r="D15" s="4"/>
      <c r="E15" s="4"/>
      <c r="F15" s="4"/>
      <c r="G15" s="4"/>
    </row>
    <row r="16" spans="2:7">
      <c r="B16" s="14" t="s">
        <v>26</v>
      </c>
      <c r="C16" s="15" t="s">
        <v>27</v>
      </c>
      <c r="D16" s="16" t="s">
        <v>6</v>
      </c>
      <c r="E16" s="16" t="s">
        <v>7</v>
      </c>
      <c r="F16" s="9" t="s">
        <v>28</v>
      </c>
      <c r="G16" t="s">
        <v>29</v>
      </c>
    </row>
    <row r="17" spans="2:7">
      <c r="B17" s="17" t="s">
        <v>30</v>
      </c>
      <c r="C17" s="18" t="s">
        <v>31</v>
      </c>
      <c r="D17" s="7" t="s">
        <v>32</v>
      </c>
      <c r="E17" s="7" t="s">
        <v>33</v>
      </c>
      <c r="F17" s="19" t="s">
        <v>34</v>
      </c>
      <c r="G17" s="20">
        <f>SUM(F17+335)</f>
        <v>902</v>
      </c>
    </row>
    <row r="18" spans="2:7">
      <c r="B18" s="21"/>
      <c r="C18" s="22"/>
      <c r="D18" s="7" t="s">
        <v>35</v>
      </c>
      <c r="E18" s="7" t="s">
        <v>36</v>
      </c>
      <c r="F18" s="19" t="s">
        <v>37</v>
      </c>
      <c r="G18" s="20">
        <f t="shared" ref="G18:G41" si="0">SUM(F18+335)</f>
        <v>546</v>
      </c>
    </row>
    <row r="19" spans="2:7">
      <c r="B19" s="21"/>
      <c r="C19" s="22"/>
      <c r="D19" s="7" t="s">
        <v>38</v>
      </c>
      <c r="E19" s="7" t="s">
        <v>39</v>
      </c>
      <c r="F19" s="19" t="s">
        <v>40</v>
      </c>
      <c r="G19" s="20">
        <f t="shared" si="0"/>
        <v>193</v>
      </c>
    </row>
    <row r="20" spans="2:7">
      <c r="B20" s="21"/>
      <c r="C20" s="22"/>
      <c r="D20" s="7" t="s">
        <v>41</v>
      </c>
      <c r="E20" s="7" t="s">
        <v>42</v>
      </c>
      <c r="F20" s="19" t="s">
        <v>43</v>
      </c>
      <c r="G20" s="20">
        <f t="shared" si="0"/>
        <v>776</v>
      </c>
    </row>
    <row r="21" spans="2:7">
      <c r="B21" s="21"/>
      <c r="C21" s="22"/>
      <c r="D21" s="7" t="s">
        <v>44</v>
      </c>
      <c r="E21" s="7" t="s">
        <v>45</v>
      </c>
      <c r="F21" s="19" t="s">
        <v>46</v>
      </c>
      <c r="G21" s="20">
        <f t="shared" si="0"/>
        <v>370</v>
      </c>
    </row>
    <row r="22" spans="2:7">
      <c r="B22" s="21"/>
      <c r="C22" s="22"/>
      <c r="D22" s="7" t="s">
        <v>47</v>
      </c>
      <c r="E22" s="7" t="s">
        <v>48</v>
      </c>
      <c r="F22" s="19" t="s">
        <v>49</v>
      </c>
      <c r="G22" s="20">
        <f t="shared" si="0"/>
        <v>0</v>
      </c>
    </row>
    <row r="23" spans="2:7">
      <c r="B23" s="21"/>
      <c r="C23" s="22"/>
      <c r="D23" s="7" t="s">
        <v>50</v>
      </c>
      <c r="E23" s="7" t="s">
        <v>51</v>
      </c>
      <c r="F23" s="19" t="s">
        <v>52</v>
      </c>
      <c r="G23" s="20">
        <f t="shared" si="0"/>
        <v>747</v>
      </c>
    </row>
    <row r="24" spans="2:7">
      <c r="B24" s="21"/>
      <c r="C24" s="22"/>
      <c r="D24" s="7" t="s">
        <v>53</v>
      </c>
      <c r="E24" s="7" t="s">
        <v>54</v>
      </c>
      <c r="F24" s="19" t="s">
        <v>55</v>
      </c>
      <c r="G24" s="20">
        <f t="shared" si="0"/>
        <v>434</v>
      </c>
    </row>
    <row r="25" spans="2:7">
      <c r="B25" s="21"/>
      <c r="C25" s="22"/>
      <c r="D25" s="7" t="s">
        <v>56</v>
      </c>
      <c r="E25" s="7" t="s">
        <v>57</v>
      </c>
      <c r="F25" s="19" t="s">
        <v>58</v>
      </c>
      <c r="G25" s="20">
        <f t="shared" si="0"/>
        <v>202</v>
      </c>
    </row>
    <row r="26" spans="2:7">
      <c r="B26" s="21"/>
      <c r="C26" s="22"/>
      <c r="D26" s="7" t="s">
        <v>59</v>
      </c>
      <c r="E26" s="7" t="s">
        <v>60</v>
      </c>
      <c r="F26" s="19" t="s">
        <v>61</v>
      </c>
      <c r="G26" s="20">
        <f t="shared" si="0"/>
        <v>688</v>
      </c>
    </row>
    <row r="27" spans="2:7">
      <c r="B27" s="21"/>
      <c r="C27" s="22"/>
      <c r="D27" s="7" t="s">
        <v>62</v>
      </c>
      <c r="E27" s="7" t="s">
        <v>63</v>
      </c>
      <c r="F27" s="19" t="s">
        <v>64</v>
      </c>
      <c r="G27" s="20">
        <f t="shared" si="0"/>
        <v>244</v>
      </c>
    </row>
    <row r="28" spans="2:7">
      <c r="B28" s="21"/>
      <c r="C28" s="22"/>
      <c r="D28" s="7" t="s">
        <v>65</v>
      </c>
      <c r="E28" s="7" t="s">
        <v>66</v>
      </c>
      <c r="F28" s="19" t="s">
        <v>67</v>
      </c>
      <c r="G28" s="20">
        <f t="shared" si="0"/>
        <v>853</v>
      </c>
    </row>
    <row r="29" spans="2:7">
      <c r="B29" s="21"/>
      <c r="C29" s="22"/>
      <c r="D29" s="7" t="s">
        <v>68</v>
      </c>
      <c r="E29" s="7" t="s">
        <v>69</v>
      </c>
      <c r="F29" s="19" t="s">
        <v>70</v>
      </c>
      <c r="G29" s="20">
        <f t="shared" si="0"/>
        <v>708</v>
      </c>
    </row>
    <row r="30" spans="2:7">
      <c r="B30" s="21"/>
      <c r="C30" s="22"/>
      <c r="D30" s="7" t="s">
        <v>71</v>
      </c>
      <c r="E30" s="7" t="s">
        <v>72</v>
      </c>
      <c r="F30" s="19" t="s">
        <v>73</v>
      </c>
      <c r="G30" s="20">
        <f t="shared" si="0"/>
        <v>211</v>
      </c>
    </row>
    <row r="31" spans="2:7">
      <c r="B31" s="21"/>
      <c r="C31" s="22"/>
      <c r="D31" s="7" t="s">
        <v>74</v>
      </c>
      <c r="E31" s="7" t="s">
        <v>75</v>
      </c>
      <c r="F31" s="19" t="s">
        <v>76</v>
      </c>
      <c r="G31" s="20">
        <f t="shared" si="0"/>
        <v>743</v>
      </c>
    </row>
    <row r="32" spans="2:7">
      <c r="B32" s="21"/>
      <c r="C32" s="22"/>
      <c r="D32" s="7" t="s">
        <v>77</v>
      </c>
      <c r="E32" s="7" t="s">
        <v>78</v>
      </c>
      <c r="F32" s="19" t="s">
        <v>79</v>
      </c>
      <c r="G32" s="20">
        <f t="shared" si="0"/>
        <v>380</v>
      </c>
    </row>
    <row r="33" spans="2:7">
      <c r="B33" s="21"/>
      <c r="C33" s="22"/>
      <c r="D33" s="7" t="s">
        <v>80</v>
      </c>
      <c r="E33" s="7" t="s">
        <v>81</v>
      </c>
      <c r="F33" s="19" t="s">
        <v>82</v>
      </c>
      <c r="G33" s="20">
        <f t="shared" si="0"/>
        <v>790</v>
      </c>
    </row>
    <row r="34" spans="2:7">
      <c r="B34" s="21"/>
      <c r="C34" s="22"/>
      <c r="D34" s="7" t="s">
        <v>83</v>
      </c>
      <c r="E34" s="7" t="s">
        <v>84</v>
      </c>
      <c r="F34" s="19" t="s">
        <v>85</v>
      </c>
      <c r="G34" s="20">
        <f t="shared" si="0"/>
        <v>228</v>
      </c>
    </row>
    <row r="35" spans="2:7">
      <c r="B35" s="21"/>
      <c r="C35" s="22"/>
      <c r="D35" s="7" t="s">
        <v>86</v>
      </c>
      <c r="E35" s="7" t="s">
        <v>87</v>
      </c>
      <c r="F35" s="19" t="s">
        <v>88</v>
      </c>
      <c r="G35" s="20">
        <f t="shared" si="0"/>
        <v>860</v>
      </c>
    </row>
    <row r="36" spans="2:7">
      <c r="B36" s="21"/>
      <c r="C36" s="22"/>
      <c r="D36" s="7" t="s">
        <v>89</v>
      </c>
      <c r="E36" s="7" t="s">
        <v>90</v>
      </c>
      <c r="F36" s="19" t="s">
        <v>91</v>
      </c>
      <c r="G36" s="20">
        <f t="shared" si="0"/>
        <v>536</v>
      </c>
    </row>
    <row r="37" spans="2:7">
      <c r="B37" s="21"/>
      <c r="C37" s="22"/>
      <c r="D37" s="7" t="s">
        <v>92</v>
      </c>
      <c r="E37" s="7" t="s">
        <v>93</v>
      </c>
      <c r="F37" s="19" t="s">
        <v>94</v>
      </c>
      <c r="G37" s="20">
        <f t="shared" si="0"/>
        <v>95</v>
      </c>
    </row>
    <row r="38" spans="2:7">
      <c r="B38" s="21"/>
      <c r="C38" s="22"/>
      <c r="D38" s="7" t="s">
        <v>95</v>
      </c>
      <c r="E38" s="7" t="s">
        <v>96</v>
      </c>
      <c r="F38" s="19" t="s">
        <v>97</v>
      </c>
      <c r="G38" s="20">
        <f t="shared" si="0"/>
        <v>629</v>
      </c>
    </row>
    <row r="39" spans="2:7">
      <c r="B39" s="21"/>
      <c r="C39" s="22"/>
      <c r="D39" s="7" t="s">
        <v>98</v>
      </c>
      <c r="E39" s="7" t="s">
        <v>99</v>
      </c>
      <c r="F39" s="19" t="s">
        <v>100</v>
      </c>
      <c r="G39" s="20">
        <f t="shared" si="0"/>
        <v>303</v>
      </c>
    </row>
    <row r="40" spans="2:7">
      <c r="B40" s="21"/>
      <c r="C40" s="22"/>
      <c r="D40" s="7" t="s">
        <v>101</v>
      </c>
      <c r="E40" s="7" t="s">
        <v>102</v>
      </c>
      <c r="F40" s="19" t="s">
        <v>103</v>
      </c>
      <c r="G40" s="20">
        <f t="shared" si="0"/>
        <v>820</v>
      </c>
    </row>
    <row r="41" spans="2:7">
      <c r="B41" s="14"/>
      <c r="C41" s="15"/>
      <c r="D41" s="7" t="s">
        <v>104</v>
      </c>
      <c r="E41" s="7" t="s">
        <v>105</v>
      </c>
      <c r="F41" s="19" t="s">
        <v>106</v>
      </c>
      <c r="G41" s="20">
        <f t="shared" si="0"/>
        <v>394</v>
      </c>
    </row>
    <row r="42" spans="6:7">
      <c r="F42" s="23" t="s">
        <v>107</v>
      </c>
      <c r="G42" s="23">
        <f>AVERAGE(G17:G41)</f>
        <v>506.08</v>
      </c>
    </row>
    <row r="43" spans="7:7">
      <c r="G43"/>
    </row>
    <row r="44" spans="2:6">
      <c r="B44" s="4" t="s">
        <v>25</v>
      </c>
      <c r="C44" s="4"/>
      <c r="D44" s="4"/>
      <c r="E44" s="4"/>
      <c r="F44" s="4"/>
    </row>
    <row r="45" spans="2:6">
      <c r="B45" s="14" t="s">
        <v>26</v>
      </c>
      <c r="C45" s="15"/>
      <c r="D45" s="16" t="s">
        <v>6</v>
      </c>
      <c r="E45" s="16" t="s">
        <v>7</v>
      </c>
      <c r="F45" s="9" t="s">
        <v>28</v>
      </c>
    </row>
    <row r="46" spans="2:6">
      <c r="B46" s="17" t="s">
        <v>108</v>
      </c>
      <c r="C46" s="24" t="s">
        <v>109</v>
      </c>
      <c r="D46" s="7" t="s">
        <v>110</v>
      </c>
      <c r="E46" s="7" t="s">
        <v>111</v>
      </c>
      <c r="F46" s="19">
        <v>253</v>
      </c>
    </row>
    <row r="47" spans="2:6">
      <c r="B47" s="21"/>
      <c r="C47" s="25"/>
      <c r="D47" s="7" t="s">
        <v>112</v>
      </c>
      <c r="E47" s="7" t="s">
        <v>113</v>
      </c>
      <c r="F47" s="19">
        <v>74</v>
      </c>
    </row>
    <row r="48" spans="2:6">
      <c r="B48" s="21"/>
      <c r="C48" s="25"/>
      <c r="D48" s="7" t="s">
        <v>114</v>
      </c>
      <c r="E48" s="7" t="s">
        <v>115</v>
      </c>
      <c r="F48" s="19">
        <v>129</v>
      </c>
    </row>
    <row r="49" spans="2:6">
      <c r="B49" s="21"/>
      <c r="C49" s="25"/>
      <c r="D49" s="7" t="s">
        <v>116</v>
      </c>
      <c r="E49" s="7" t="s">
        <v>117</v>
      </c>
      <c r="F49" s="19" t="s">
        <v>118</v>
      </c>
    </row>
    <row r="50" spans="2:6">
      <c r="B50" s="21"/>
      <c r="C50" s="25"/>
      <c r="D50" s="7" t="s">
        <v>119</v>
      </c>
      <c r="E50" s="7" t="s">
        <v>120</v>
      </c>
      <c r="F50" s="19" t="s">
        <v>121</v>
      </c>
    </row>
    <row r="51" spans="2:6">
      <c r="B51" s="21"/>
      <c r="C51" s="25"/>
      <c r="D51" s="7" t="s">
        <v>122</v>
      </c>
      <c r="E51" s="7" t="s">
        <v>123</v>
      </c>
      <c r="F51" s="19" t="s">
        <v>124</v>
      </c>
    </row>
    <row r="52" spans="2:6">
      <c r="B52" s="21"/>
      <c r="C52" s="25"/>
      <c r="D52" s="7" t="s">
        <v>125</v>
      </c>
      <c r="E52" s="7" t="s">
        <v>126</v>
      </c>
      <c r="F52" s="19" t="s">
        <v>118</v>
      </c>
    </row>
    <row r="53" spans="2:6">
      <c r="B53" s="21"/>
      <c r="C53" s="25"/>
      <c r="D53" s="7" t="s">
        <v>127</v>
      </c>
      <c r="E53" s="7" t="s">
        <v>128</v>
      </c>
      <c r="F53" s="19" t="s">
        <v>129</v>
      </c>
    </row>
    <row r="54" spans="2:6">
      <c r="B54" s="21"/>
      <c r="C54" s="25"/>
      <c r="D54" s="7" t="s">
        <v>130</v>
      </c>
      <c r="E54" s="7" t="s">
        <v>131</v>
      </c>
      <c r="F54" s="19" t="s">
        <v>132</v>
      </c>
    </row>
    <row r="55" spans="2:6">
      <c r="B55" s="21"/>
      <c r="C55" s="25"/>
      <c r="D55" s="7" t="s">
        <v>133</v>
      </c>
      <c r="E55" s="7" t="s">
        <v>134</v>
      </c>
      <c r="F55" s="19" t="s">
        <v>135</v>
      </c>
    </row>
    <row r="56" spans="2:6">
      <c r="B56" s="21"/>
      <c r="C56" s="25"/>
      <c r="D56" s="7" t="s">
        <v>136</v>
      </c>
      <c r="E56" s="7" t="s">
        <v>137</v>
      </c>
      <c r="F56" s="19" t="s">
        <v>129</v>
      </c>
    </row>
    <row r="57" spans="2:6">
      <c r="B57" s="21"/>
      <c r="C57" s="25"/>
      <c r="D57" s="7" t="s">
        <v>138</v>
      </c>
      <c r="E57" s="7" t="s">
        <v>139</v>
      </c>
      <c r="F57" s="19" t="s">
        <v>140</v>
      </c>
    </row>
    <row r="58" spans="2:6">
      <c r="B58" s="21"/>
      <c r="C58" s="25"/>
      <c r="D58" s="7" t="s">
        <v>141</v>
      </c>
      <c r="E58" s="7" t="s">
        <v>142</v>
      </c>
      <c r="F58" s="19" t="s">
        <v>143</v>
      </c>
    </row>
    <row r="59" spans="2:6">
      <c r="B59" s="21"/>
      <c r="C59" s="25"/>
      <c r="D59" s="7" t="s">
        <v>144</v>
      </c>
      <c r="E59" s="7" t="s">
        <v>145</v>
      </c>
      <c r="F59" s="19" t="s">
        <v>146</v>
      </c>
    </row>
    <row r="60" spans="2:6">
      <c r="B60" s="21"/>
      <c r="C60" s="25"/>
      <c r="D60" s="7" t="s">
        <v>147</v>
      </c>
      <c r="E60" s="7" t="s">
        <v>148</v>
      </c>
      <c r="F60" s="19" t="s">
        <v>132</v>
      </c>
    </row>
    <row r="61" spans="2:6">
      <c r="B61" s="21"/>
      <c r="C61" s="25"/>
      <c r="D61" s="7" t="s">
        <v>149</v>
      </c>
      <c r="E61" s="7" t="s">
        <v>150</v>
      </c>
      <c r="F61" s="19" t="s">
        <v>151</v>
      </c>
    </row>
    <row r="62" spans="2:6">
      <c r="B62" s="21"/>
      <c r="C62" s="25"/>
      <c r="D62" s="7" t="s">
        <v>152</v>
      </c>
      <c r="E62" s="7" t="s">
        <v>153</v>
      </c>
      <c r="F62" s="19" t="s">
        <v>154</v>
      </c>
    </row>
    <row r="63" spans="2:6">
      <c r="B63" s="21"/>
      <c r="C63" s="25"/>
      <c r="D63" s="7" t="s">
        <v>155</v>
      </c>
      <c r="E63" s="7" t="s">
        <v>156</v>
      </c>
      <c r="F63" s="19" t="s">
        <v>154</v>
      </c>
    </row>
    <row r="64" spans="2:6">
      <c r="B64" s="21"/>
      <c r="C64" s="25"/>
      <c r="D64" s="7" t="s">
        <v>157</v>
      </c>
      <c r="E64" s="7" t="s">
        <v>158</v>
      </c>
      <c r="F64" s="19" t="s">
        <v>143</v>
      </c>
    </row>
    <row r="65" spans="2:6">
      <c r="B65" s="21"/>
      <c r="C65" s="25"/>
      <c r="D65" s="7" t="s">
        <v>159</v>
      </c>
      <c r="E65" s="7" t="s">
        <v>160</v>
      </c>
      <c r="F65" s="19" t="s">
        <v>129</v>
      </c>
    </row>
    <row r="66" spans="2:6">
      <c r="B66" s="21"/>
      <c r="C66" s="25"/>
      <c r="D66" s="7" t="s">
        <v>161</v>
      </c>
      <c r="E66" s="7" t="s">
        <v>162</v>
      </c>
      <c r="F66" s="19" t="s">
        <v>163</v>
      </c>
    </row>
    <row r="67" spans="2:6">
      <c r="B67" s="21"/>
      <c r="C67" s="25"/>
      <c r="D67" s="7" t="s">
        <v>164</v>
      </c>
      <c r="E67" s="7" t="s">
        <v>165</v>
      </c>
      <c r="F67" s="19">
        <v>306</v>
      </c>
    </row>
    <row r="68" spans="2:6">
      <c r="B68" s="21"/>
      <c r="C68" s="25"/>
      <c r="D68" s="7" t="s">
        <v>166</v>
      </c>
      <c r="E68" s="7" t="s">
        <v>167</v>
      </c>
      <c r="F68" s="19" t="s">
        <v>168</v>
      </c>
    </row>
    <row r="69" spans="2:6">
      <c r="B69" s="21"/>
      <c r="C69" s="25"/>
      <c r="D69" s="7" t="s">
        <v>169</v>
      </c>
      <c r="E69" s="7" t="s">
        <v>170</v>
      </c>
      <c r="F69" s="19" t="s">
        <v>171</v>
      </c>
    </row>
    <row r="70" spans="2:6">
      <c r="B70" s="14"/>
      <c r="C70" s="35"/>
      <c r="D70" s="7" t="s">
        <v>172</v>
      </c>
      <c r="E70" s="7" t="s">
        <v>173</v>
      </c>
      <c r="F70" s="19" t="s">
        <v>154</v>
      </c>
    </row>
    <row r="71" spans="5:6">
      <c r="E71" s="23" t="s">
        <v>107</v>
      </c>
      <c r="F71" s="23">
        <f>AVERAGE(F46:F70)</f>
        <v>190.5</v>
      </c>
    </row>
  </sheetData>
  <mergeCells count="13">
    <mergeCell ref="B3:K3"/>
    <mergeCell ref="B13:D13"/>
    <mergeCell ref="B15:G15"/>
    <mergeCell ref="B44:F44"/>
    <mergeCell ref="B5:B9"/>
    <mergeCell ref="B17:B41"/>
    <mergeCell ref="B46:B70"/>
    <mergeCell ref="C5:C9"/>
    <mergeCell ref="C17:C41"/>
    <mergeCell ref="C46:C70"/>
    <mergeCell ref="D5:D9"/>
    <mergeCell ref="E5:E9"/>
    <mergeCell ref="F5:F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性能测试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viruser</dc:creator>
  <cp:lastModifiedBy>谭应谱</cp:lastModifiedBy>
  <dcterms:created xsi:type="dcterms:W3CDTF">2025-06-27T01:54:00Z</dcterms:created>
  <dcterms:modified xsi:type="dcterms:W3CDTF">2025-07-11T08:53:17Z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C07E890EE0584D2D8C77D74790FB4D3D_12</vt:lpwstr>
  </property>
</Properties>
</file>